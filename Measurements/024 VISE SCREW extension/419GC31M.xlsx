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024 VISE SCREW extension\"/>
    </mc:Choice>
  </mc:AlternateContent>
  <xr:revisionPtr revIDLastSave="0" documentId="13_ncr:1_{C3834276-DB3A-4D44-9D25-FF4DF55082BC}" xr6:coauthVersionLast="47" xr6:coauthVersionMax="47" xr10:uidLastSave="{00000000-0000-0000-0000-000000000000}"/>
  <bookViews>
    <workbookView xWindow="-120" yWindow="-120" windowWidth="29040" windowHeight="15840" xr2:uid="{1E6338A5-4ADC-4920-82B5-73ABC98241B7}"/>
  </bookViews>
  <sheets>
    <sheet name="419GC31M" sheetId="2" r:id="rId1"/>
  </sheets>
  <definedNames>
    <definedName name="_xlnm.Print_Area" localSheetId="0">'419GC31M'!$A$1:$M$22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" l="1"/>
  <c r="K7" i="2"/>
  <c r="K6" i="2"/>
  <c r="K5" i="2"/>
  <c r="K4" i="2"/>
  <c r="D4" i="2"/>
  <c r="D5" i="2"/>
  <c r="D6" i="2"/>
  <c r="D7" i="2"/>
  <c r="D8" i="2"/>
</calcChain>
</file>

<file path=xl/sharedStrings.xml><?xml version="1.0" encoding="utf-8"?>
<sst xmlns="http://schemas.openxmlformats.org/spreadsheetml/2006/main" count="24" uniqueCount="23">
  <si>
    <t>8.81</t>
  </si>
  <si>
    <t>23.02</t>
  </si>
  <si>
    <t>23.03</t>
  </si>
  <si>
    <t>8.86</t>
  </si>
  <si>
    <t>23.14</t>
  </si>
  <si>
    <t>8.82</t>
  </si>
  <si>
    <t>23.07</t>
  </si>
  <si>
    <t>8.76</t>
  </si>
  <si>
    <t>23.11</t>
  </si>
  <si>
    <t>I</t>
  </si>
  <si>
    <t>H</t>
  </si>
  <si>
    <t>G</t>
  </si>
  <si>
    <t>F</t>
  </si>
  <si>
    <t>E</t>
  </si>
  <si>
    <t>D</t>
  </si>
  <si>
    <t>C</t>
  </si>
  <si>
    <t>B</t>
  </si>
  <si>
    <t>A</t>
  </si>
  <si>
    <t>Part No.</t>
  </si>
  <si>
    <t>Inspector: KK</t>
  </si>
  <si>
    <t>Mano Engineering LLC</t>
  </si>
  <si>
    <t>Sample Measurement Record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</si>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</sst>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9">
    <xf numFmtId="0" fontId="0" fillId="0" borderId="0" xfId="0"/>
    <xf numFmtId="0" fontId="2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2" fillId="0" borderId="0" xfId="1" applyFont="1">
      <alignment vertical="center"/>
    </xf>
    <xf numFmtId="49" fontId="2" fillId="0" borderId="0" xfId="1" applyNumberFormat="1" applyFo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4" fillId="2" borderId="13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49" fontId="4" fillId="2" borderId="16" xfId="1" applyNumberFormat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5" fillId="0" borderId="18" xfId="1" applyFont="1" applyBorder="1" applyAlignment="1">
      <alignment horizontal="right" vertical="center"/>
    </xf>
    <xf numFmtId="0" fontId="5" fillId="0" borderId="18" xfId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49" fontId="3" fillId="0" borderId="19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</cellXfs>
  <cellStyles count="2">
    <cellStyle name="Normal" xfId="0" builtinId="0"/>
    <cellStyle name="Normal 2" xfId="1" xr:uid="{3AA419CD-1F96-4903-BF32-113A05E37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123825</xdr:colOff>
      <xdr:row>8</xdr:row>
      <xdr:rowOff>57150</xdr:rowOff>
    </xdr:from>
    <xdr:ext cx="4505954" cy="2953162"/>
    <xdr:pic>
      <xdr:nvPicPr>
        <xdr:cNvPr id="2" name="Picture 1">
          <a:extLst>
            <a:ext uri="{FF2B5EF4-FFF2-40B4-BE49-F238E27FC236}">
              <a16:creationId xmlns:a16="http://schemas.microsoft.com/office/drawing/2014/main" id="{22387568-68DD-48E1-ADEE-92811D4D2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0025" y="2324100"/>
          <a:ext cx="4505954" cy="2953162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8</xdr:row>
      <xdr:rowOff>114300</xdr:rowOff>
    </xdr:from>
    <xdr:to>
      <xdr:col>9</xdr:col>
      <xdr:colOff>315182</xdr:colOff>
      <xdr:row>23</xdr:row>
      <xdr:rowOff>95766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22F811A9-185A-3DD2-60D3-8469F82E0249}"/>
            </a:ext>
          </a:extLst>
        </xdr:cNvPr>
        <xdr:cNvGrpSpPr/>
      </xdr:nvGrpSpPr>
      <xdr:grpSpPr>
        <a:xfrm>
          <a:off x="0" y="2381250"/>
          <a:ext cx="6144482" cy="3696216"/>
          <a:chOff x="0" y="2381250"/>
          <a:chExt cx="6144482" cy="3696216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38DAFE21-284B-4E55-A0F7-485972BDF1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0" y="2381250"/>
            <a:ext cx="6144482" cy="3696216"/>
          </a:xfrm>
          <a:prstGeom prst="rect">
            <a:avLst/>
          </a:prstGeom>
        </xdr:spPr>
      </xdr:pic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696C542D-0487-4390-AEB0-CF785EC878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505075" y="4905375"/>
            <a:ext cx="771525" cy="276643"/>
          </a:xfrm>
          <a:prstGeom prst="rect">
            <a:avLst/>
          </a:prstGeom>
        </xdr:spPr>
      </xdr:pic>
    </xdr:grpSp>
    <xdr:clientData/>
  </xdr:twoCellAnchor>
  <xdr:oneCellAnchor>
    <xdr:from>
      <xdr:col>13</xdr:col>
      <xdr:colOff>0</xdr:colOff>
      <xdr:row>38</xdr:row>
      <xdr:rowOff>10219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3E0C75-559F-4659-A9C4-426518283550}"/>
            </a:ext>
          </a:extLst>
        </xdr:cNvPr>
        <xdr:cNvSpPr txBox="1"/>
      </xdr:nvSpPr>
      <xdr:spPr>
        <a:xfrm>
          <a:off x="780097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47649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FBD13D2-095F-4911-BDD5-913194B142D5}"/>
            </a:ext>
          </a:extLst>
        </xdr:cNvPr>
        <xdr:cNvSpPr txBox="1"/>
      </xdr:nvSpPr>
      <xdr:spPr>
        <a:xfrm>
          <a:off x="780097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48</xdr:row>
      <xdr:rowOff>68706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54254FA-80F4-49B7-8EB8-46D6880C48DB}"/>
            </a:ext>
          </a:extLst>
        </xdr:cNvPr>
        <xdr:cNvSpPr txBox="1"/>
      </xdr:nvSpPr>
      <xdr:spPr>
        <a:xfrm>
          <a:off x="780097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31</xdr:row>
      <xdr:rowOff>37290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5F024F1-5BBB-48D8-833A-DFBAD135A025}"/>
            </a:ext>
          </a:extLst>
        </xdr:cNvPr>
        <xdr:cNvSpPr txBox="1"/>
      </xdr:nvSpPr>
      <xdr:spPr>
        <a:xfrm>
          <a:off x="780097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30940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8E76D42-11DE-43A6-B57C-2B9E5AE8C59C}"/>
            </a:ext>
          </a:extLst>
        </xdr:cNvPr>
        <xdr:cNvSpPr txBox="1"/>
      </xdr:nvSpPr>
      <xdr:spPr>
        <a:xfrm>
          <a:off x="780097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1CD0D23-D708-4B17-8464-6F3176CC076F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1AE86E9-31A5-4CAB-A32E-B512E801908D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8AFB855-E086-4C08-A380-7EF90B05E0A1}"/>
            </a:ext>
          </a:extLst>
        </xdr:cNvPr>
        <xdr:cNvSpPr txBox="1"/>
      </xdr:nvSpPr>
      <xdr:spPr>
        <a:xfrm>
          <a:off x="7435349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8DA271B-20CF-404C-8741-36EED3CA4E0E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452F705-3446-42B9-8C94-FF13874B49BA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381000</xdr:colOff>
      <xdr:row>16</xdr:row>
      <xdr:rowOff>95250</xdr:rowOff>
    </xdr:from>
    <xdr:ext cx="324512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03B8C38-37F3-47E9-A58A-D59A963C6577}"/>
            </a:ext>
          </a:extLst>
        </xdr:cNvPr>
        <xdr:cNvSpPr txBox="1"/>
      </xdr:nvSpPr>
      <xdr:spPr>
        <a:xfrm>
          <a:off x="381000" y="3143250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1</xdr:col>
      <xdr:colOff>123825</xdr:colOff>
      <xdr:row>10</xdr:row>
      <xdr:rowOff>104775</xdr:rowOff>
    </xdr:from>
    <xdr:ext cx="314060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8D89D70-9DF5-48F1-BE95-54E461E5D9AE}"/>
            </a:ext>
          </a:extLst>
        </xdr:cNvPr>
        <xdr:cNvSpPr txBox="1"/>
      </xdr:nvSpPr>
      <xdr:spPr>
        <a:xfrm>
          <a:off x="723900" y="2009775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</xdr:col>
      <xdr:colOff>57150</xdr:colOff>
      <xdr:row>12</xdr:row>
      <xdr:rowOff>142875</xdr:rowOff>
    </xdr:from>
    <xdr:ext cx="306815" cy="37414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423A72D-14EA-44AA-925F-EA671E3DC407}"/>
            </a:ext>
          </a:extLst>
        </xdr:cNvPr>
        <xdr:cNvSpPr txBox="1"/>
      </xdr:nvSpPr>
      <xdr:spPr>
        <a:xfrm>
          <a:off x="657225" y="2428875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0</xdr:col>
      <xdr:colOff>495300</xdr:colOff>
      <xdr:row>20</xdr:row>
      <xdr:rowOff>133350</xdr:rowOff>
    </xdr:from>
    <xdr:ext cx="330155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4BB98AA-8E2A-4BC6-810E-3C272BC21645}"/>
            </a:ext>
          </a:extLst>
        </xdr:cNvPr>
        <xdr:cNvSpPr txBox="1"/>
      </xdr:nvSpPr>
      <xdr:spPr>
        <a:xfrm>
          <a:off x="495300" y="3943350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5</xdr:col>
      <xdr:colOff>161925</xdr:colOff>
      <xdr:row>11</xdr:row>
      <xdr:rowOff>200025</xdr:rowOff>
    </xdr:from>
    <xdr:ext cx="297261" cy="37414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25309F1-B5D3-4DFA-8BF5-02D9FB77CC51}"/>
            </a:ext>
          </a:extLst>
        </xdr:cNvPr>
        <xdr:cNvSpPr txBox="1"/>
      </xdr:nvSpPr>
      <xdr:spPr>
        <a:xfrm>
          <a:off x="3162300" y="2286000"/>
          <a:ext cx="29726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4</xdr:col>
      <xdr:colOff>561975</xdr:colOff>
      <xdr:row>20</xdr:row>
      <xdr:rowOff>19050</xdr:rowOff>
    </xdr:from>
    <xdr:ext cx="290592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14F0A93-180C-410E-93DB-F97D14CFB104}"/>
            </a:ext>
          </a:extLst>
        </xdr:cNvPr>
        <xdr:cNvSpPr txBox="1"/>
      </xdr:nvSpPr>
      <xdr:spPr>
        <a:xfrm>
          <a:off x="3152775" y="5257800"/>
          <a:ext cx="29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8</xdr:col>
      <xdr:colOff>342900</xdr:colOff>
      <xdr:row>18</xdr:row>
      <xdr:rowOff>9525</xdr:rowOff>
    </xdr:from>
    <xdr:ext cx="1838582" cy="990738"/>
    <xdr:pic>
      <xdr:nvPicPr>
        <xdr:cNvPr id="20" name="Picture 19">
          <a:extLst>
            <a:ext uri="{FF2B5EF4-FFF2-40B4-BE49-F238E27FC236}">
              <a16:creationId xmlns:a16="http://schemas.microsoft.com/office/drawing/2014/main" id="{A0B5D1E2-3243-4FC0-B143-0C6DABCC6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4752975"/>
          <a:ext cx="1838582" cy="990738"/>
        </a:xfrm>
        <a:prstGeom prst="rect">
          <a:avLst/>
        </a:prstGeom>
      </xdr:spPr>
    </xdr:pic>
    <xdr:clientData/>
  </xdr:oneCellAnchor>
  <xdr:oneCellAnchor>
    <xdr:from>
      <xdr:col>11</xdr:col>
      <xdr:colOff>285750</xdr:colOff>
      <xdr:row>18</xdr:row>
      <xdr:rowOff>180975</xdr:rowOff>
    </xdr:from>
    <xdr:ext cx="331757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BC483CF-3438-4CCA-952B-4F06857BA098}"/>
            </a:ext>
          </a:extLst>
        </xdr:cNvPr>
        <xdr:cNvSpPr txBox="1"/>
      </xdr:nvSpPr>
      <xdr:spPr>
        <a:xfrm>
          <a:off x="7410450" y="4924425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4</xdr:col>
      <xdr:colOff>171450</xdr:colOff>
      <xdr:row>17</xdr:row>
      <xdr:rowOff>142875</xdr:rowOff>
    </xdr:from>
    <xdr:ext cx="331757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E8F00D6-3C64-4413-9D52-24CA10211DDC}"/>
            </a:ext>
          </a:extLst>
        </xdr:cNvPr>
        <xdr:cNvSpPr txBox="1"/>
      </xdr:nvSpPr>
      <xdr:spPr>
        <a:xfrm>
          <a:off x="2762250" y="4638675"/>
          <a:ext cx="3317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4</xdr:col>
      <xdr:colOff>485775</xdr:colOff>
      <xdr:row>18</xdr:row>
      <xdr:rowOff>200025</xdr:rowOff>
    </xdr:from>
    <xdr:ext cx="246221" cy="37414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F244BBC-ECBE-4729-8D9A-9042DEE97DD2}"/>
            </a:ext>
          </a:extLst>
        </xdr:cNvPr>
        <xdr:cNvSpPr txBox="1"/>
      </xdr:nvSpPr>
      <xdr:spPr>
        <a:xfrm>
          <a:off x="2886075" y="3619500"/>
          <a:ext cx="24622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3</xdr:col>
      <xdr:colOff>561975</xdr:colOff>
      <xdr:row>10</xdr:row>
      <xdr:rowOff>142875</xdr:rowOff>
    </xdr:from>
    <xdr:ext cx="261546" cy="37407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852B769C-CD33-400E-B5DD-5193DCA4DB17}"/>
            </a:ext>
          </a:extLst>
        </xdr:cNvPr>
        <xdr:cNvSpPr txBox="1"/>
      </xdr:nvSpPr>
      <xdr:spPr>
        <a:xfrm>
          <a:off x="2505075" y="2905125"/>
          <a:ext cx="261546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J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1FF5D-CAFC-4668-97B4-8B85278DD0DA}">
  <dimension ref="A1:P36"/>
  <sheetViews>
    <sheetView tabSelected="1" zoomScaleNormal="100" workbookViewId="0">
      <selection activeCell="R16" sqref="R15:R16"/>
    </sheetView>
  </sheetViews>
  <sheetFormatPr defaultColWidth="9" defaultRowHeight="11.25"/>
  <cols>
    <col min="1" max="1" width="9.7109375" style="1" customWidth="1"/>
    <col min="2" max="3" width="9.7109375" style="2" customWidth="1"/>
    <col min="4" max="13" width="9.7109375" style="1" customWidth="1"/>
    <col min="14" max="16384" width="9" style="1"/>
  </cols>
  <sheetData>
    <row r="1" spans="1:16" ht="30" customHeight="1">
      <c r="A1" s="28" t="s">
        <v>21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6" ht="26.45" customHeight="1" thickBot="1">
      <c r="A2" s="26" t="s">
        <v>20</v>
      </c>
      <c r="B2" s="25"/>
      <c r="C2" s="25"/>
      <c r="D2" s="24"/>
      <c r="E2" s="24"/>
      <c r="F2" s="24"/>
      <c r="G2" s="24"/>
      <c r="H2" s="24"/>
      <c r="I2" s="24"/>
      <c r="J2" s="24"/>
      <c r="K2" s="24"/>
      <c r="L2" s="24"/>
      <c r="M2" s="23" t="s">
        <v>19</v>
      </c>
    </row>
    <row r="3" spans="1:16" ht="24.95" customHeight="1" thickTop="1">
      <c r="A3" s="22" t="s">
        <v>18</v>
      </c>
      <c r="B3" s="21" t="s">
        <v>17</v>
      </c>
      <c r="C3" s="21" t="s">
        <v>16</v>
      </c>
      <c r="D3" s="20" t="s">
        <v>15</v>
      </c>
      <c r="E3" s="19" t="s">
        <v>14</v>
      </c>
      <c r="F3" s="19" t="s">
        <v>13</v>
      </c>
      <c r="G3" s="19" t="s">
        <v>12</v>
      </c>
      <c r="H3" s="19" t="s">
        <v>11</v>
      </c>
      <c r="I3" s="19" t="s">
        <v>10</v>
      </c>
      <c r="J3" s="19" t="s">
        <v>9</v>
      </c>
      <c r="K3" s="19" t="s">
        <v>22</v>
      </c>
      <c r="L3" s="19"/>
      <c r="M3" s="18"/>
      <c r="P3" s="17"/>
    </row>
    <row r="4" spans="1:16" ht="20.100000000000001" customHeight="1">
      <c r="A4" s="13">
        <v>1</v>
      </c>
      <c r="B4" s="16" t="s">
        <v>8</v>
      </c>
      <c r="C4" s="16" t="s">
        <v>7</v>
      </c>
      <c r="D4" s="7">
        <f>C4-E4</f>
        <v>0.59999999999999964</v>
      </c>
      <c r="E4" s="15">
        <v>8.16</v>
      </c>
      <c r="F4" s="15">
        <v>26.78</v>
      </c>
      <c r="G4" s="15">
        <v>39.869999999999997</v>
      </c>
      <c r="H4" s="15">
        <v>23.91</v>
      </c>
      <c r="I4" s="15">
        <v>27.66</v>
      </c>
      <c r="J4" s="15">
        <v>2.99</v>
      </c>
      <c r="K4" s="15">
        <f>1.85/2</f>
        <v>0.92500000000000004</v>
      </c>
      <c r="L4" s="15"/>
      <c r="M4" s="14"/>
    </row>
    <row r="5" spans="1:16" ht="20.100000000000001" customHeight="1">
      <c r="A5" s="13">
        <v>2</v>
      </c>
      <c r="B5" s="12" t="s">
        <v>6</v>
      </c>
      <c r="C5" s="12" t="s">
        <v>5</v>
      </c>
      <c r="D5" s="7">
        <f>C5-E5</f>
        <v>0.55000000000000071</v>
      </c>
      <c r="E5" s="11">
        <v>8.27</v>
      </c>
      <c r="F5" s="11">
        <v>26.77</v>
      </c>
      <c r="G5" s="11">
        <v>39.96</v>
      </c>
      <c r="H5" s="11">
        <v>24</v>
      </c>
      <c r="I5" s="11">
        <v>27.55</v>
      </c>
      <c r="J5" s="11">
        <v>2.97</v>
      </c>
      <c r="K5" s="11">
        <f>1.686/2</f>
        <v>0.84299999999999997</v>
      </c>
      <c r="L5" s="11"/>
      <c r="M5" s="10"/>
    </row>
    <row r="6" spans="1:16" ht="20.100000000000001" customHeight="1">
      <c r="A6" s="13">
        <v>3</v>
      </c>
      <c r="B6" s="12" t="s">
        <v>4</v>
      </c>
      <c r="C6" s="12" t="s">
        <v>3</v>
      </c>
      <c r="D6" s="7">
        <f>C6-E6</f>
        <v>0.66999999999999993</v>
      </c>
      <c r="E6" s="11">
        <v>8.19</v>
      </c>
      <c r="F6" s="11">
        <v>26.72</v>
      </c>
      <c r="G6" s="11">
        <v>39.770000000000003</v>
      </c>
      <c r="H6" s="11">
        <v>23.86</v>
      </c>
      <c r="I6" s="11">
        <v>27.62</v>
      </c>
      <c r="J6" s="11">
        <v>2.97</v>
      </c>
      <c r="K6" s="11">
        <f>1.924/2</f>
        <v>0.96199999999999997</v>
      </c>
      <c r="L6" s="11"/>
      <c r="M6" s="10"/>
    </row>
    <row r="7" spans="1:16" ht="20.100000000000001" customHeight="1">
      <c r="A7" s="13">
        <v>4</v>
      </c>
      <c r="B7" s="12" t="s">
        <v>2</v>
      </c>
      <c r="C7" s="12" t="s">
        <v>0</v>
      </c>
      <c r="D7" s="7">
        <f>C7-E7</f>
        <v>0.75999999999999979</v>
      </c>
      <c r="E7" s="11">
        <v>8.0500000000000007</v>
      </c>
      <c r="F7" s="11">
        <v>26.83</v>
      </c>
      <c r="G7" s="11">
        <v>39.81</v>
      </c>
      <c r="H7" s="11">
        <v>23.94</v>
      </c>
      <c r="I7" s="11">
        <v>27.63</v>
      </c>
      <c r="J7" s="11">
        <v>2.99</v>
      </c>
      <c r="K7" s="11">
        <f>1.613/2</f>
        <v>0.80649999999999999</v>
      </c>
      <c r="L7" s="11"/>
      <c r="M7" s="10"/>
    </row>
    <row r="8" spans="1:16" ht="20.100000000000001" customHeight="1" thickBot="1">
      <c r="A8" s="9">
        <v>5</v>
      </c>
      <c r="B8" s="8" t="s">
        <v>1</v>
      </c>
      <c r="C8" s="8" t="s">
        <v>0</v>
      </c>
      <c r="D8" s="27">
        <f>C8-E8</f>
        <v>0.67999999999999972</v>
      </c>
      <c r="E8" s="6">
        <v>8.1300000000000008</v>
      </c>
      <c r="F8" s="6">
        <v>27</v>
      </c>
      <c r="G8" s="6">
        <v>39.799999999999997</v>
      </c>
      <c r="H8" s="6">
        <v>23.86</v>
      </c>
      <c r="I8" s="6">
        <v>27.57</v>
      </c>
      <c r="J8" s="6">
        <v>2.98</v>
      </c>
      <c r="K8" s="6">
        <f>1.728/2</f>
        <v>0.86399999999999999</v>
      </c>
      <c r="L8" s="6"/>
      <c r="M8" s="5"/>
    </row>
    <row r="9" spans="1:16" ht="20.100000000000001" customHeight="1" thickTop="1"/>
    <row r="10" spans="1:16" ht="20.100000000000001" customHeight="1">
      <c r="A10" s="3"/>
      <c r="B10" s="4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6" ht="20.100000000000001" customHeight="1">
      <c r="A11" s="3"/>
      <c r="B11" s="4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6" ht="20.100000000000001" customHeight="1">
      <c r="A12" s="3"/>
      <c r="B12" s="4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6" ht="20.100000000000001" customHeight="1">
      <c r="A13" s="3"/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6" ht="20.100000000000001" customHeight="1">
      <c r="A14" s="3"/>
      <c r="B14" s="4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6" ht="20.100000000000001" customHeight="1">
      <c r="A15" s="3"/>
      <c r="B15" s="4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6" ht="20.100000000000001" customHeight="1">
      <c r="A16" s="3"/>
      <c r="B16" s="4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20.100000000000001" customHeight="1">
      <c r="A17" s="3"/>
      <c r="B17" s="4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20.100000000000001" customHeight="1">
      <c r="A18" s="3"/>
      <c r="B18" s="4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20.100000000000001" customHeight="1">
      <c r="A19" s="3"/>
      <c r="B19" s="4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20.100000000000001" customHeight="1">
      <c r="A20" s="3"/>
      <c r="B20" s="4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0.100000000000001" customHeight="1">
      <c r="A21" s="3"/>
      <c r="B21" s="4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20.100000000000001" customHeight="1">
      <c r="A22" s="3"/>
      <c r="B22" s="4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20.100000000000001" customHeight="1">
      <c r="A23" s="3"/>
      <c r="B23" s="4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/>
      <c r="B24" s="4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/>
      <c r="B25" s="4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B26" s="4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/>
      <c r="B27" s="4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3"/>
      <c r="B28" s="4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/>
      <c r="B29" s="4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A30" s="3"/>
      <c r="B30" s="4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>
      <c r="A31" s="3"/>
      <c r="B31" s="4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3"/>
      <c r="B32" s="4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3"/>
      <c r="B33" s="4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4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A35" s="3"/>
      <c r="B35" s="4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3"/>
      <c r="B36" s="4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419GC31M</vt:lpstr>
      <vt:lpstr>'419GC31M'!Print_Area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mano.engineering@outlook.com</dc:creator>
  <cp:lastModifiedBy>mano.engineering@outlook.com</cp:lastModifiedBy>
  <cp:lastPrinted>2025-11-24T22:16:28Z</cp:lastPrinted>
  <dcterms:created xsi:type="dcterms:W3CDTF">2025-11-24T21:57:48Z</dcterms:created>
  <dcterms:modified xsi:type="dcterms:W3CDTF">2025-11-25T20:10:50Z</dcterms:modified>
</cp:coreProperties>
</file>