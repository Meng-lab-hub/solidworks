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92922A retaining collar\"/>
    </mc:Choice>
  </mc:AlternateContent>
  <xr:revisionPtr revIDLastSave="0" documentId="13_ncr:1_{154C92D0-AC8C-4BD7-96E4-BE614FB08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7" r:id="rId1"/>
  </sheets>
  <definedNames>
    <definedName name="_xlnm.Print_Area" localSheetId="0">records!$A$1:$M$24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7" l="1"/>
  <c r="G6" i="17"/>
  <c r="G7" i="17"/>
  <c r="G8" i="17"/>
  <c r="G4" i="17"/>
  <c r="F5" i="17"/>
  <c r="F6" i="17"/>
  <c r="F7" i="17"/>
  <c r="F8" i="17"/>
  <c r="F4" i="17"/>
  <c r="L5" i="17"/>
  <c r="L6" i="17"/>
  <c r="L7" i="17"/>
  <c r="L8" i="17"/>
  <c r="L4" i="17"/>
</calcChain>
</file>

<file path=xl/sharedStrings.xml><?xml version="1.0" encoding="utf-8"?>
<sst xmlns="http://schemas.openxmlformats.org/spreadsheetml/2006/main" count="34" uniqueCount="33">
  <si>
    <t>Part No.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</si>
  <si>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</si>
  <si>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</si>
  <si>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</si>
  <si>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</si>
  <si>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</si>
  <si>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</si>
  <si>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</si>
  <si>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</si>
  <si>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</si>
  <si>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Sample Measurement Record</t>
  </si>
  <si>
    <t>Mano Engineering LLC</t>
  </si>
  <si>
    <t>J</t>
  </si>
  <si>
    <t xml:space="preserve"> </t>
  </si>
  <si>
    <t>Part No. 92922A</t>
  </si>
  <si>
    <t>K</t>
  </si>
  <si>
    <t>0.557</t>
  </si>
  <si>
    <t>0.5605</t>
  </si>
  <si>
    <t>0.5595</t>
  </si>
  <si>
    <t>0.56</t>
  </si>
  <si>
    <t>0.559</t>
  </si>
  <si>
    <t>REF for K</t>
  </si>
  <si>
    <t>0.083</t>
  </si>
  <si>
    <t>0.082</t>
  </si>
  <si>
    <t>0.072</t>
  </si>
  <si>
    <t>0.07</t>
  </si>
  <si>
    <t>0.068</t>
  </si>
  <si>
    <t>0.069</t>
  </si>
  <si>
    <t>0.088</t>
  </si>
  <si>
    <t>0.085</t>
  </si>
  <si>
    <t>0.09</t>
  </si>
  <si>
    <t>Ref for E</t>
  </si>
  <si>
    <t>Ref for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</si>
</sst>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11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57151</xdr:rowOff>
    </xdr:from>
    <xdr:to>
      <xdr:col>12</xdr:col>
      <xdr:colOff>597280</xdr:colOff>
      <xdr:row>20</xdr:row>
      <xdr:rowOff>161925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FFA274E-3762-A348-2ACC-8F7CE4525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4101"/>
          <a:ext cx="8369680" cy="3076574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161925</xdr:colOff>
      <xdr:row>18</xdr:row>
      <xdr:rowOff>57150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809625" y="480060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9525</xdr:colOff>
      <xdr:row>18</xdr:row>
      <xdr:rowOff>47625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1952625" y="479107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285750</xdr:colOff>
      <xdr:row>8</xdr:row>
      <xdr:rowOff>19050</xdr:rowOff>
    </xdr:from>
    <xdr:ext cx="306815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D6CDAF-A220-4D0C-A4D8-8948F1CD68F7}"/>
            </a:ext>
          </a:extLst>
        </xdr:cNvPr>
        <xdr:cNvSpPr txBox="1"/>
      </xdr:nvSpPr>
      <xdr:spPr>
        <a:xfrm>
          <a:off x="1581150" y="228600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2</xdr:col>
      <xdr:colOff>419100</xdr:colOff>
      <xdr:row>9</xdr:row>
      <xdr:rowOff>85725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276F56A-4944-4CEA-A123-60EC3F240058}"/>
            </a:ext>
          </a:extLst>
        </xdr:cNvPr>
        <xdr:cNvSpPr txBox="1"/>
      </xdr:nvSpPr>
      <xdr:spPr>
        <a:xfrm>
          <a:off x="1714500" y="260032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3</xdr:col>
      <xdr:colOff>428625</xdr:colOff>
      <xdr:row>10</xdr:row>
      <xdr:rowOff>57150</xdr:rowOff>
    </xdr:from>
    <xdr:ext cx="297261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2C5F790-AF88-4E00-B90A-22D77C71AC6D}"/>
            </a:ext>
          </a:extLst>
        </xdr:cNvPr>
        <xdr:cNvSpPr txBox="1"/>
      </xdr:nvSpPr>
      <xdr:spPr>
        <a:xfrm>
          <a:off x="2371725" y="2819400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0</xdr:col>
      <xdr:colOff>381000</xdr:colOff>
      <xdr:row>10</xdr:row>
      <xdr:rowOff>57150</xdr:rowOff>
    </xdr:from>
    <xdr:ext cx="290592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C982FA-3889-441E-AFF6-AB7B670F0243}"/>
            </a:ext>
          </a:extLst>
        </xdr:cNvPr>
        <xdr:cNvSpPr txBox="1"/>
      </xdr:nvSpPr>
      <xdr:spPr>
        <a:xfrm>
          <a:off x="381000" y="2819400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11</xdr:col>
      <xdr:colOff>428625</xdr:colOff>
      <xdr:row>8</xdr:row>
      <xdr:rowOff>238125</xdr:rowOff>
    </xdr:from>
    <xdr:ext cx="331757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F0F0B46-0F01-4891-9228-029528BF665A}"/>
            </a:ext>
          </a:extLst>
        </xdr:cNvPr>
        <xdr:cNvSpPr txBox="1"/>
      </xdr:nvSpPr>
      <xdr:spPr>
        <a:xfrm>
          <a:off x="7553325" y="25050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12</xdr:col>
      <xdr:colOff>352425</xdr:colOff>
      <xdr:row>13</xdr:row>
      <xdr:rowOff>66675</xdr:rowOff>
    </xdr:from>
    <xdr:ext cx="331757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43E83F0-2EF6-4AA9-A720-1FD15A66A3E5}"/>
            </a:ext>
          </a:extLst>
        </xdr:cNvPr>
        <xdr:cNvSpPr txBox="1"/>
      </xdr:nvSpPr>
      <xdr:spPr>
        <a:xfrm>
          <a:off x="8124825" y="35718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11</xdr:col>
      <xdr:colOff>428625</xdr:colOff>
      <xdr:row>13</xdr:row>
      <xdr:rowOff>85725</xdr:rowOff>
    </xdr:from>
    <xdr:ext cx="246221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40DCD2-3BB7-4D30-9706-DF4D958B5632}"/>
            </a:ext>
          </a:extLst>
        </xdr:cNvPr>
        <xdr:cNvSpPr txBox="1"/>
      </xdr:nvSpPr>
      <xdr:spPr>
        <a:xfrm>
          <a:off x="7553325" y="3590925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12</xdr:col>
      <xdr:colOff>47625</xdr:colOff>
      <xdr:row>13</xdr:row>
      <xdr:rowOff>95250</xdr:rowOff>
    </xdr:from>
    <xdr:ext cx="261097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CBC77C6-4D87-4ED8-89BE-C8A36849E5DD}"/>
            </a:ext>
          </a:extLst>
        </xdr:cNvPr>
        <xdr:cNvSpPr txBox="1"/>
      </xdr:nvSpPr>
      <xdr:spPr>
        <a:xfrm>
          <a:off x="7820025" y="3600450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twoCellAnchor>
    <xdr:from>
      <xdr:col>8</xdr:col>
      <xdr:colOff>38100</xdr:colOff>
      <xdr:row>14</xdr:row>
      <xdr:rowOff>209551</xdr:rowOff>
    </xdr:from>
    <xdr:to>
      <xdr:col>9</xdr:col>
      <xdr:colOff>581025</xdr:colOff>
      <xdr:row>17</xdr:row>
      <xdr:rowOff>114301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0908593-EB2B-1E51-C501-F6F0ED325E0F}"/>
            </a:ext>
          </a:extLst>
        </xdr:cNvPr>
        <xdr:cNvSpPr/>
      </xdr:nvSpPr>
      <xdr:spPr>
        <a:xfrm>
          <a:off x="5219700" y="3962401"/>
          <a:ext cx="11906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581025</xdr:colOff>
      <xdr:row>17</xdr:row>
      <xdr:rowOff>76200</xdr:rowOff>
    </xdr:from>
    <xdr:ext cx="144937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8E861A5-35BB-B562-6833-F8D3A4C2BFF7}"/>
            </a:ext>
          </a:extLst>
        </xdr:cNvPr>
        <xdr:cNvSpPr txBox="1"/>
      </xdr:nvSpPr>
      <xdr:spPr>
        <a:xfrm>
          <a:off x="5114925" y="4572000"/>
          <a:ext cx="1449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can't</a:t>
          </a:r>
          <a:r>
            <a:rPr lang="en-US" sz="1100" baseline="0">
              <a:solidFill>
                <a:srgbClr val="FF0000"/>
              </a:solidFill>
            </a:rPr>
            <a:t> measure reliably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276225</xdr:colOff>
      <xdr:row>8</xdr:row>
      <xdr:rowOff>114300</xdr:rowOff>
    </xdr:from>
    <xdr:ext cx="310919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23BE84-6185-4D19-9CA4-1F9A09264787}"/>
            </a:ext>
          </a:extLst>
        </xdr:cNvPr>
        <xdr:cNvSpPr txBox="1"/>
      </xdr:nvSpPr>
      <xdr:spPr>
        <a:xfrm>
          <a:off x="6753225" y="2381250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twoCellAnchor editAs="oneCell">
    <xdr:from>
      <xdr:col>5</xdr:col>
      <xdr:colOff>238125</xdr:colOff>
      <xdr:row>18</xdr:row>
      <xdr:rowOff>180975</xdr:rowOff>
    </xdr:from>
    <xdr:to>
      <xdr:col>8</xdr:col>
      <xdr:colOff>581025</xdr:colOff>
      <xdr:row>23</xdr:row>
      <xdr:rowOff>19783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C5E820E-CCF9-BE8F-25D5-88C89810F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625" y="4924425"/>
          <a:ext cx="2286000" cy="1077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U36"/>
  <sheetViews>
    <sheetView tabSelected="1" zoomScaleNormal="100" workbookViewId="0">
      <selection activeCell="C26" sqref="C26"/>
    </sheetView>
  </sheetViews>
  <sheetFormatPr defaultColWidth="9" defaultRowHeight="11.25"/>
  <cols>
    <col min="1" max="1" width="9.7109375" style="1" customWidth="1"/>
    <col min="2" max="3" width="9.7109375" style="12" customWidth="1"/>
    <col min="4" max="15" width="9.7109375" style="1" customWidth="1"/>
    <col min="16" max="16384" width="9" style="1"/>
  </cols>
  <sheetData>
    <row r="1" spans="1:18" ht="30" customHeight="1">
      <c r="A1" s="46" t="s">
        <v>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23"/>
      <c r="O1" s="23"/>
    </row>
    <row r="2" spans="1:18" ht="26.45" customHeight="1" thickBot="1">
      <c r="A2" s="2" t="s">
        <v>11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14</v>
      </c>
      <c r="N2" s="29"/>
      <c r="O2" s="29"/>
    </row>
    <row r="3" spans="1:18" ht="24.95" customHeight="1" thickTop="1">
      <c r="A3" s="4" t="s">
        <v>0</v>
      </c>
      <c r="B3" s="11" t="s">
        <v>1</v>
      </c>
      <c r="C3" s="11" t="s">
        <v>2</v>
      </c>
      <c r="D3" s="5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12</v>
      </c>
      <c r="L3" s="14" t="s">
        <v>15</v>
      </c>
      <c r="M3" s="6"/>
      <c r="N3" s="35" t="s">
        <v>31</v>
      </c>
      <c r="O3" s="36" t="s">
        <v>32</v>
      </c>
      <c r="P3" s="34" t="s">
        <v>21</v>
      </c>
      <c r="R3" s="19"/>
    </row>
    <row r="4" spans="1:18" ht="20.100000000000001" customHeight="1">
      <c r="A4" s="7">
        <v>1</v>
      </c>
      <c r="B4" s="43" t="s">
        <v>22</v>
      </c>
      <c r="C4" s="43" t="s">
        <v>27</v>
      </c>
      <c r="D4" s="21" t="s">
        <v>16</v>
      </c>
      <c r="E4" s="40">
        <v>0.40400000000000003</v>
      </c>
      <c r="F4" s="15">
        <f>180-N4</f>
        <v>45.25800000000001</v>
      </c>
      <c r="G4" s="15">
        <f>180-O4</f>
        <v>45.65100000000001</v>
      </c>
      <c r="H4" s="15">
        <v>6.5000000000000002E-2</v>
      </c>
      <c r="I4" s="15">
        <v>1.0009999999999999</v>
      </c>
      <c r="J4" s="15">
        <v>0.625</v>
      </c>
      <c r="K4" s="15">
        <v>0.80300000000000005</v>
      </c>
      <c r="L4" s="15">
        <f>P4-H4</f>
        <v>0.44649999999999995</v>
      </c>
      <c r="M4" s="26"/>
      <c r="N4" s="7">
        <v>134.74199999999999</v>
      </c>
      <c r="O4" s="37">
        <v>134.34899999999999</v>
      </c>
      <c r="P4" s="30">
        <v>0.51149999999999995</v>
      </c>
    </row>
    <row r="5" spans="1:18" ht="20.100000000000001" customHeight="1">
      <c r="A5" s="7">
        <v>2</v>
      </c>
      <c r="B5" s="44" t="s">
        <v>24</v>
      </c>
      <c r="C5" s="44" t="s">
        <v>23</v>
      </c>
      <c r="D5" s="21" t="s">
        <v>17</v>
      </c>
      <c r="E5" s="41">
        <v>0.40200000000000002</v>
      </c>
      <c r="F5" s="15">
        <f t="shared" ref="F5:F8" si="0">180-N5</f>
        <v>45.078000000000003</v>
      </c>
      <c r="G5" s="15">
        <f t="shared" ref="G5:G8" si="1">180-O5</f>
        <v>45.114000000000004</v>
      </c>
      <c r="H5" s="16">
        <v>6.7000000000000004E-2</v>
      </c>
      <c r="I5" s="16">
        <v>1.002</v>
      </c>
      <c r="J5" s="16">
        <v>0.624</v>
      </c>
      <c r="K5" s="16">
        <v>0.80200000000000005</v>
      </c>
      <c r="L5" s="15">
        <f>P5-H5</f>
        <v>0.43349999999999994</v>
      </c>
      <c r="M5" s="27"/>
      <c r="N5" s="33">
        <v>134.922</v>
      </c>
      <c r="O5" s="38">
        <v>134.886</v>
      </c>
      <c r="P5" s="31">
        <v>0.50049999999999994</v>
      </c>
    </row>
    <row r="6" spans="1:18" ht="20.100000000000001" customHeight="1">
      <c r="A6" s="7">
        <v>3</v>
      </c>
      <c r="B6" s="20" t="s">
        <v>25</v>
      </c>
      <c r="C6" s="44" t="s">
        <v>28</v>
      </c>
      <c r="D6" s="21" t="s">
        <v>18</v>
      </c>
      <c r="E6" s="41">
        <v>0.4</v>
      </c>
      <c r="F6" s="15">
        <f t="shared" si="0"/>
        <v>45.212999999999994</v>
      </c>
      <c r="G6" s="15">
        <f t="shared" si="1"/>
        <v>45.312000000000012</v>
      </c>
      <c r="H6" s="16">
        <v>6.3500000000000001E-2</v>
      </c>
      <c r="I6" s="16">
        <v>1</v>
      </c>
      <c r="J6" s="16">
        <v>0.62450000000000006</v>
      </c>
      <c r="K6" s="16">
        <v>0.80249999999999999</v>
      </c>
      <c r="L6" s="15">
        <f>P6-H6</f>
        <v>0.44650000000000001</v>
      </c>
      <c r="M6" s="27"/>
      <c r="N6" s="33">
        <v>134.78700000000001</v>
      </c>
      <c r="O6" s="38">
        <v>134.68799999999999</v>
      </c>
      <c r="P6" s="31">
        <v>0.51</v>
      </c>
    </row>
    <row r="7" spans="1:18" ht="20.100000000000001" customHeight="1">
      <c r="A7" s="7">
        <v>4</v>
      </c>
      <c r="B7" s="44" t="s">
        <v>26</v>
      </c>
      <c r="C7" s="44" t="s">
        <v>29</v>
      </c>
      <c r="D7" s="21" t="s">
        <v>19</v>
      </c>
      <c r="E7" s="41">
        <v>0.40100000000000002</v>
      </c>
      <c r="F7" s="15">
        <f t="shared" si="0"/>
        <v>45.608000000000004</v>
      </c>
      <c r="G7" s="15">
        <f t="shared" si="1"/>
        <v>42.820999999999998</v>
      </c>
      <c r="H7" s="16">
        <v>6.1499999999999999E-2</v>
      </c>
      <c r="I7" s="16">
        <v>1.0009999999999999</v>
      </c>
      <c r="J7" s="16">
        <v>0.624</v>
      </c>
      <c r="K7" s="16">
        <v>0.80149999999999999</v>
      </c>
      <c r="L7" s="15">
        <f>P7-H7</f>
        <v>0.434</v>
      </c>
      <c r="M7" s="27"/>
      <c r="N7" s="33">
        <v>134.392</v>
      </c>
      <c r="O7" s="38">
        <v>137.179</v>
      </c>
      <c r="P7" s="31">
        <v>0.4955</v>
      </c>
    </row>
    <row r="8" spans="1:18" ht="20.100000000000001" customHeight="1" thickBot="1">
      <c r="A8" s="18">
        <v>5</v>
      </c>
      <c r="B8" s="45" t="s">
        <v>27</v>
      </c>
      <c r="C8" s="45" t="s">
        <v>30</v>
      </c>
      <c r="D8" s="22" t="s">
        <v>20</v>
      </c>
      <c r="E8" s="42">
        <v>0.39800000000000002</v>
      </c>
      <c r="F8" s="17">
        <f t="shared" si="0"/>
        <v>45.489000000000004</v>
      </c>
      <c r="G8" s="17">
        <f t="shared" si="1"/>
        <v>44.663000000000011</v>
      </c>
      <c r="H8" s="17">
        <v>6.2E-2</v>
      </c>
      <c r="I8" s="17">
        <v>1.0004999999999999</v>
      </c>
      <c r="J8" s="17">
        <v>0.625</v>
      </c>
      <c r="K8" s="17">
        <v>0.80300000000000005</v>
      </c>
      <c r="L8" s="17">
        <f>P8-H8</f>
        <v>0.44249999999999995</v>
      </c>
      <c r="M8" s="28"/>
      <c r="N8" s="18">
        <v>134.511</v>
      </c>
      <c r="O8" s="39">
        <v>135.33699999999999</v>
      </c>
      <c r="P8" s="32">
        <v>0.50449999999999995</v>
      </c>
    </row>
    <row r="9" spans="1:18" ht="20.100000000000001" customHeight="1" thickTop="1"/>
    <row r="10" spans="1:18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8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8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8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8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8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8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1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21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U18" s="1" t="s">
        <v>13</v>
      </c>
    </row>
    <row r="19" spans="1:21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21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21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ht="20.100000000000001" customHeight="1">
      <c r="A22" s="24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1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2025-12-01T20:00:35Z</cp:lastPrinted>
  <dcterms:created xsi:type="dcterms:W3CDTF">2020-11-06T07:08:00Z</dcterms:created>
  <dcterms:modified xsi:type="dcterms:W3CDTF">2025-12-01T22:14:44Z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